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Figure-5_acat-MAPPER-DP\"/>
    </mc:Choice>
  </mc:AlternateContent>
  <xr:revisionPtr revIDLastSave="0" documentId="13_ncr:1_{D741840E-535A-4A83-8B72-BF50AFFDCA98}" xr6:coauthVersionLast="36" xr6:coauthVersionMax="36" xr10:uidLastSave="{00000000-0000-0000-0000-000000000000}"/>
  <bookViews>
    <workbookView xWindow="0" yWindow="0" windowWidth="22056" windowHeight="10296" xr2:uid="{40559116-2F2F-4D1A-AE2C-770C1EA99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" i="1" l="1"/>
  <c r="H43" i="1" l="1"/>
  <c r="B61" i="1" l="1"/>
  <c r="B62" i="1"/>
  <c r="H47" i="1" l="1"/>
  <c r="G47" i="1" l="1"/>
  <c r="H56" i="1"/>
  <c r="G44" i="1"/>
  <c r="H44" i="1"/>
  <c r="G45" i="1"/>
  <c r="H45" i="1"/>
  <c r="G46" i="1"/>
  <c r="H46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G43" i="1"/>
  <c r="H32" i="1"/>
  <c r="F32" i="1"/>
  <c r="G32" i="1"/>
  <c r="F33" i="1"/>
  <c r="G33" i="1"/>
  <c r="H33" i="1"/>
  <c r="F34" i="1"/>
  <c r="G34" i="1"/>
  <c r="H34" i="1"/>
  <c r="F35" i="1"/>
  <c r="G35" i="1"/>
  <c r="F36" i="1"/>
  <c r="G36" i="1"/>
  <c r="F37" i="1"/>
  <c r="G37" i="1"/>
  <c r="H31" i="1"/>
  <c r="G31" i="1"/>
  <c r="F31" i="1"/>
  <c r="F38" i="1" l="1"/>
  <c r="G38" i="1"/>
  <c r="H57" i="1"/>
  <c r="G57" i="1"/>
</calcChain>
</file>

<file path=xl/sharedStrings.xml><?xml version="1.0" encoding="utf-8"?>
<sst xmlns="http://schemas.openxmlformats.org/spreadsheetml/2006/main" count="101" uniqueCount="37">
  <si>
    <t>Folder date</t>
  </si>
  <si>
    <t>ROI</t>
  </si>
  <si>
    <t>acat, MAPPER, DP</t>
  </si>
  <si>
    <t>acat, MAPPER</t>
  </si>
  <si>
    <t>DP, MAPPER</t>
  </si>
  <si>
    <t xml:space="preserve">File </t>
  </si>
  <si>
    <t>Channels</t>
  </si>
  <si>
    <t>Time acat appears (min)</t>
  </si>
  <si>
    <t>Time DP appears (min)</t>
  </si>
  <si>
    <t>Notes (see powerpoint)</t>
  </si>
  <si>
    <t>DP/MAPPER</t>
  </si>
  <si>
    <t>acat, MAPPER are already at cell-cell border.</t>
  </si>
  <si>
    <t>MAPPER is already at cell-cell border. DP puncta appears away from MAPPER (does not colocalize). MAPPER puncta remain right next to some DP puncta over several minutes.</t>
  </si>
  <si>
    <t>Field</t>
  </si>
  <si>
    <t>Only one cell expresses acat and DP whereas both cells express MAPPER. MAPPER puncta remains associated with acat only at T=67.</t>
  </si>
  <si>
    <t>Good example</t>
  </si>
  <si>
    <t>Border is not discernible</t>
  </si>
  <si>
    <t>α-cat</t>
  </si>
  <si>
    <t>MAPPER</t>
  </si>
  <si>
    <t>Desmoplakin</t>
  </si>
  <si>
    <t>Not good examples</t>
  </si>
  <si>
    <t>1st MAPPER puncta that remains around the particular cell-cell contact region until T=32 (14 inutes)</t>
  </si>
  <si>
    <t>There are lot's of MAPPER puncta near plasma membrane before the two cells made contacts</t>
  </si>
  <si>
    <t>1 cell co-express DP and MAPPER. The other does not express any.</t>
  </si>
  <si>
    <t>% of instances</t>
  </si>
  <si>
    <t>MAPPER and DP co-appear</t>
  </si>
  <si>
    <t>DP appears within 5 minutes of MAPPER</t>
  </si>
  <si>
    <t>DP appears first</t>
  </si>
  <si>
    <t>a-catenin and MAPPER Timepoints (normalized to a-catenin)</t>
  </si>
  <si>
    <t>DP and MAPPER Timepoints (normalized to MAPPER)</t>
  </si>
  <si>
    <t xml:space="preserve">Mean Timepoints </t>
  </si>
  <si>
    <t>Mean Timepoints</t>
  </si>
  <si>
    <t>Time MAPPER appears (min)</t>
  </si>
  <si>
    <t>N/A</t>
  </si>
  <si>
    <t>Initial cell-cell contact border is very dynamic/mobile. Some DP and MAPPER puncta appear almost colocalized for some time.</t>
  </si>
  <si>
    <t>acat is already at cell-cell borders at the beginning of movie.</t>
  </si>
  <si>
    <t>DP appears together with MAPPER and the two segregate as contacts 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</si>
</sst>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0" xfId="0" applyFont="1"/>
    <xf numFmtId="0" fontId="5" fillId="0" borderId="0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2" fillId="0" borderId="2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4" fontId="3" fillId="0" borderId="4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4" fontId="3" fillId="0" borderId="6" xfId="0" applyNumberFormat="1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1" fillId="0" borderId="2" xfId="0" applyFont="1" applyFill="1" applyBorder="1"/>
    <xf numFmtId="0" fontId="1" fillId="0" borderId="3" xfId="0" applyFont="1" applyFill="1" applyBorder="1"/>
    <xf numFmtId="0" fontId="2" fillId="0" borderId="2" xfId="0" applyFont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4" fillId="0" borderId="4" xfId="0" applyFont="1" applyBorder="1" applyAlignment="1">
      <alignment wrapText="1"/>
    </xf>
    <xf numFmtId="2" fontId="5" fillId="0" borderId="5" xfId="0" applyNumberFormat="1" applyFont="1" applyBorder="1"/>
    <xf numFmtId="0" fontId="4" fillId="0" borderId="6" xfId="0" applyFont="1" applyBorder="1" applyAlignment="1">
      <alignment wrapText="1"/>
    </xf>
    <xf numFmtId="2" fontId="5" fillId="0" borderId="8" xfId="0" applyNumberFormat="1" applyFont="1" applyBorder="1"/>
    <xf numFmtId="0" fontId="0" fillId="0" borderId="1" xfId="0" applyBorder="1"/>
    <xf numFmtId="0" fontId="4" fillId="0" borderId="0" xfId="0" applyFont="1" applyFill="1" applyAlignment="1"/>
    <xf numFmtId="0" fontId="5" fillId="0" borderId="0" xfId="0" applyFont="1" applyFill="1" applyBorder="1"/>
    <xf numFmtId="0" fontId="5" fillId="0" borderId="5" xfId="0" applyFont="1" applyFill="1" applyBorder="1"/>
    <xf numFmtId="0" fontId="5" fillId="0" borderId="7" xfId="0" applyFont="1" applyFill="1" applyBorder="1"/>
    <xf numFmtId="0" fontId="5" fillId="0" borderId="8" xfId="0" applyFont="1" applyFill="1" applyBorder="1"/>
    <xf numFmtId="0" fontId="4" fillId="2" borderId="7" xfId="0" applyFont="1" applyFill="1" applyBorder="1" applyAlignment="1"/>
    <xf numFmtId="0" fontId="3" fillId="0" borderId="5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left" wrapText="1"/>
    </xf>
    <xf numFmtId="0" fontId="0" fillId="0" borderId="10" xfId="0" applyFill="1" applyBorder="1"/>
    <xf numFmtId="0" fontId="0" fillId="0" borderId="11" xfId="0" applyFill="1" applyBorder="1"/>
    <xf numFmtId="0" fontId="6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5E01-1053-4592-B854-040B9079E727}">
  <dimension ref="A1:K79"/>
  <sheetViews>
    <sheetView tabSelected="1" topLeftCell="A10" workbookViewId="0">
      <selection activeCell="I24" sqref="I24"/>
    </sheetView>
  </sheetViews>
  <sheetFormatPr defaultRowHeight="14.4" x14ac:dyDescent="0.3"/>
  <cols>
    <col min="1" max="1" width="16.21875" customWidth="1"/>
    <col min="2" max="3" width="20.33203125" bestFit="1" customWidth="1"/>
    <col min="4" max="4" width="6" bestFit="1" customWidth="1"/>
    <col min="5" max="5" width="10.5546875" customWidth="1"/>
    <col min="6" max="7" width="10.33203125" bestFit="1" customWidth="1"/>
    <col min="8" max="8" width="14" customWidth="1"/>
    <col min="9" max="9" width="95.5546875" bestFit="1" customWidth="1"/>
    <col min="10" max="10" width="162.6640625" customWidth="1"/>
    <col min="11" max="11" width="126.5546875" bestFit="1" customWidth="1"/>
  </cols>
  <sheetData>
    <row r="1" spans="1:11" ht="16.2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3" thickBot="1" x14ac:dyDescent="0.35">
      <c r="A2" s="4" t="s">
        <v>0</v>
      </c>
      <c r="B2" s="5" t="s">
        <v>6</v>
      </c>
      <c r="C2" s="11" t="s">
        <v>5</v>
      </c>
      <c r="D2" s="5" t="s">
        <v>13</v>
      </c>
      <c r="E2" s="5" t="s">
        <v>1</v>
      </c>
      <c r="F2" s="24" t="s">
        <v>7</v>
      </c>
      <c r="G2" s="25" t="s">
        <v>32</v>
      </c>
      <c r="H2" s="25" t="s">
        <v>8</v>
      </c>
      <c r="I2" s="26" t="s">
        <v>9</v>
      </c>
      <c r="J2" s="1"/>
      <c r="K2" s="1"/>
    </row>
    <row r="3" spans="1:11" ht="30.6" x14ac:dyDescent="0.3">
      <c r="A3" s="14">
        <v>45738</v>
      </c>
      <c r="B3" s="15" t="s">
        <v>2</v>
      </c>
      <c r="C3" s="15">
        <v>1</v>
      </c>
      <c r="D3" s="15">
        <v>3</v>
      </c>
      <c r="E3" s="15">
        <v>2</v>
      </c>
      <c r="F3" s="20">
        <v>38</v>
      </c>
      <c r="G3" s="20">
        <v>54</v>
      </c>
      <c r="H3" s="20">
        <v>82</v>
      </c>
      <c r="I3" s="38" t="s">
        <v>14</v>
      </c>
      <c r="J3" s="1"/>
      <c r="K3" s="1"/>
    </row>
    <row r="4" spans="1:11" ht="15.6" x14ac:dyDescent="0.3">
      <c r="A4" s="14">
        <v>45510</v>
      </c>
      <c r="B4" s="15" t="s">
        <v>2</v>
      </c>
      <c r="C4" s="15">
        <v>1</v>
      </c>
      <c r="D4" s="15">
        <v>2</v>
      </c>
      <c r="E4" s="15">
        <v>1</v>
      </c>
      <c r="F4" s="15">
        <v>2</v>
      </c>
      <c r="G4" s="15">
        <v>7</v>
      </c>
      <c r="H4" s="15">
        <v>7</v>
      </c>
      <c r="I4" s="38"/>
      <c r="J4" s="1"/>
      <c r="K4" s="1"/>
    </row>
    <row r="5" spans="1:11" ht="15.6" x14ac:dyDescent="0.3">
      <c r="A5" s="14">
        <v>45546</v>
      </c>
      <c r="B5" s="15" t="s">
        <v>2</v>
      </c>
      <c r="C5" s="15">
        <v>2</v>
      </c>
      <c r="D5" s="15">
        <v>1</v>
      </c>
      <c r="E5" s="15">
        <v>1</v>
      </c>
      <c r="F5" s="15">
        <v>48</v>
      </c>
      <c r="G5" s="15">
        <v>49</v>
      </c>
      <c r="H5" s="15">
        <v>49</v>
      </c>
      <c r="I5" s="38" t="s">
        <v>15</v>
      </c>
      <c r="J5" s="1"/>
      <c r="K5" s="1"/>
    </row>
    <row r="6" spans="1:11" ht="15.6" x14ac:dyDescent="0.3">
      <c r="A6" s="14">
        <v>45546</v>
      </c>
      <c r="B6" s="15" t="s">
        <v>2</v>
      </c>
      <c r="C6" s="15">
        <v>2</v>
      </c>
      <c r="D6" s="15">
        <v>1</v>
      </c>
      <c r="E6" s="15">
        <v>2</v>
      </c>
      <c r="F6" s="15">
        <v>67</v>
      </c>
      <c r="G6" s="15">
        <v>69</v>
      </c>
      <c r="H6" s="15">
        <v>69</v>
      </c>
      <c r="I6" s="38"/>
      <c r="J6" s="1"/>
      <c r="K6" s="1"/>
    </row>
    <row r="7" spans="1:11" ht="15.6" x14ac:dyDescent="0.3">
      <c r="A7" s="14">
        <v>45567</v>
      </c>
      <c r="B7" s="15" t="s">
        <v>3</v>
      </c>
      <c r="C7" s="15">
        <v>2</v>
      </c>
      <c r="D7" s="15">
        <v>1</v>
      </c>
      <c r="E7" s="15">
        <v>1</v>
      </c>
      <c r="F7" s="15">
        <v>3</v>
      </c>
      <c r="G7" s="15">
        <v>12</v>
      </c>
      <c r="H7" s="15" t="s">
        <v>33</v>
      </c>
      <c r="I7" s="38"/>
      <c r="J7" s="1"/>
      <c r="K7" s="1"/>
    </row>
    <row r="8" spans="1:11" ht="15.6" x14ac:dyDescent="0.3">
      <c r="A8" s="14">
        <v>45567</v>
      </c>
      <c r="B8" s="15" t="s">
        <v>3</v>
      </c>
      <c r="C8" s="15">
        <v>2</v>
      </c>
      <c r="D8" s="15">
        <v>3</v>
      </c>
      <c r="E8" s="15">
        <v>1</v>
      </c>
      <c r="F8" s="15">
        <v>2</v>
      </c>
      <c r="G8" s="15">
        <v>5</v>
      </c>
      <c r="H8" s="15" t="s">
        <v>33</v>
      </c>
      <c r="I8" s="38"/>
      <c r="J8" s="1"/>
      <c r="K8" s="1"/>
    </row>
    <row r="9" spans="1:11" ht="15.6" x14ac:dyDescent="0.3">
      <c r="A9" s="14">
        <v>45738</v>
      </c>
      <c r="B9" s="15" t="s">
        <v>3</v>
      </c>
      <c r="C9" s="19">
        <v>1</v>
      </c>
      <c r="D9" s="15">
        <v>2</v>
      </c>
      <c r="E9" s="15">
        <v>1</v>
      </c>
      <c r="F9" s="20">
        <v>25</v>
      </c>
      <c r="G9" s="20">
        <v>31</v>
      </c>
      <c r="H9" s="15" t="s">
        <v>33</v>
      </c>
      <c r="I9" s="39"/>
      <c r="J9" s="1"/>
      <c r="K9" s="1"/>
    </row>
    <row r="10" spans="1:11" ht="30.6" x14ac:dyDescent="0.3">
      <c r="A10" s="14">
        <v>45526</v>
      </c>
      <c r="B10" s="19" t="s">
        <v>4</v>
      </c>
      <c r="C10" s="15">
        <v>2</v>
      </c>
      <c r="D10" s="15">
        <v>1</v>
      </c>
      <c r="E10" s="20">
        <v>1</v>
      </c>
      <c r="F10" s="15" t="s">
        <v>33</v>
      </c>
      <c r="G10" s="20">
        <v>17</v>
      </c>
      <c r="H10" s="15">
        <v>9</v>
      </c>
      <c r="I10" s="38" t="s">
        <v>21</v>
      </c>
      <c r="J10" s="1"/>
      <c r="K10" s="1"/>
    </row>
    <row r="11" spans="1:11" ht="15.6" x14ac:dyDescent="0.3">
      <c r="A11" s="14">
        <v>45526</v>
      </c>
      <c r="B11" s="19" t="s">
        <v>4</v>
      </c>
      <c r="C11" s="15">
        <v>2</v>
      </c>
      <c r="D11" s="15">
        <v>3</v>
      </c>
      <c r="E11" s="15">
        <v>1</v>
      </c>
      <c r="F11" s="15" t="s">
        <v>33</v>
      </c>
      <c r="G11" s="15">
        <v>15</v>
      </c>
      <c r="H11" s="15">
        <v>16</v>
      </c>
      <c r="I11" s="39" t="s">
        <v>22</v>
      </c>
      <c r="J11" s="1"/>
      <c r="K11" s="1"/>
    </row>
    <row r="12" spans="1:11" ht="15.6" x14ac:dyDescent="0.3">
      <c r="A12" s="14">
        <v>45526</v>
      </c>
      <c r="B12" s="19" t="s">
        <v>4</v>
      </c>
      <c r="C12" s="15">
        <v>2</v>
      </c>
      <c r="D12" s="15">
        <v>3</v>
      </c>
      <c r="E12" s="15">
        <v>2</v>
      </c>
      <c r="F12" s="15" t="s">
        <v>33</v>
      </c>
      <c r="G12" s="15">
        <v>19</v>
      </c>
      <c r="H12" s="15">
        <v>25</v>
      </c>
      <c r="I12" s="39" t="s">
        <v>23</v>
      </c>
      <c r="J12" s="1"/>
      <c r="K12" s="1"/>
    </row>
    <row r="13" spans="1:11" ht="15.6" x14ac:dyDescent="0.3">
      <c r="A13" s="14">
        <v>45526</v>
      </c>
      <c r="B13" s="19" t="s">
        <v>4</v>
      </c>
      <c r="C13" s="15">
        <v>2</v>
      </c>
      <c r="D13" s="15">
        <v>3</v>
      </c>
      <c r="E13" s="15">
        <v>3</v>
      </c>
      <c r="F13" s="15" t="s">
        <v>33</v>
      </c>
      <c r="G13" s="15">
        <v>12</v>
      </c>
      <c r="H13" s="15">
        <v>14</v>
      </c>
      <c r="I13" s="39"/>
      <c r="J13" s="1"/>
      <c r="K13" s="1"/>
    </row>
    <row r="14" spans="1:11" ht="15.6" x14ac:dyDescent="0.3">
      <c r="A14" s="14">
        <v>45526</v>
      </c>
      <c r="B14" s="19" t="s">
        <v>4</v>
      </c>
      <c r="C14" s="15">
        <v>2</v>
      </c>
      <c r="D14" s="15">
        <v>2</v>
      </c>
      <c r="E14" s="15">
        <v>1</v>
      </c>
      <c r="F14" s="15" t="s">
        <v>33</v>
      </c>
      <c r="G14" s="15" t="s">
        <v>33</v>
      </c>
      <c r="H14" s="15" t="s">
        <v>33</v>
      </c>
      <c r="I14" s="39" t="s">
        <v>16</v>
      </c>
      <c r="J14" s="1"/>
      <c r="K14" s="1"/>
    </row>
    <row r="15" spans="1:11" ht="15.6" x14ac:dyDescent="0.3">
      <c r="A15" s="14">
        <v>45526</v>
      </c>
      <c r="B15" s="19" t="s">
        <v>4</v>
      </c>
      <c r="C15" s="15">
        <v>2</v>
      </c>
      <c r="D15" s="15">
        <v>2</v>
      </c>
      <c r="E15" s="15">
        <v>2</v>
      </c>
      <c r="F15" s="15" t="s">
        <v>33</v>
      </c>
      <c r="G15" s="15">
        <v>4</v>
      </c>
      <c r="H15" s="15">
        <v>9</v>
      </c>
      <c r="I15" s="39" t="s">
        <v>15</v>
      </c>
      <c r="J15" s="1"/>
      <c r="K15" s="1"/>
    </row>
    <row r="16" spans="1:11" ht="15.6" x14ac:dyDescent="0.3">
      <c r="A16" s="14">
        <v>45526</v>
      </c>
      <c r="B16" s="19" t="s">
        <v>4</v>
      </c>
      <c r="C16" s="15">
        <v>2</v>
      </c>
      <c r="D16" s="15">
        <v>2</v>
      </c>
      <c r="E16" s="15">
        <v>3</v>
      </c>
      <c r="F16" s="15" t="s">
        <v>33</v>
      </c>
      <c r="G16" s="15">
        <v>30</v>
      </c>
      <c r="H16" s="15">
        <v>34</v>
      </c>
      <c r="I16" s="39" t="s">
        <v>15</v>
      </c>
    </row>
    <row r="17" spans="1:11" ht="30.6" x14ac:dyDescent="0.3">
      <c r="A17" s="14">
        <v>45738</v>
      </c>
      <c r="B17" s="15" t="s">
        <v>4</v>
      </c>
      <c r="C17" s="15">
        <v>1</v>
      </c>
      <c r="D17" s="15">
        <v>2</v>
      </c>
      <c r="E17" s="15">
        <v>1</v>
      </c>
      <c r="F17" s="15" t="s">
        <v>33</v>
      </c>
      <c r="G17" s="20">
        <v>20</v>
      </c>
      <c r="H17" s="20">
        <v>20</v>
      </c>
      <c r="I17" s="38" t="s">
        <v>34</v>
      </c>
    </row>
    <row r="18" spans="1:11" ht="15.6" x14ac:dyDescent="0.3">
      <c r="A18" s="14">
        <v>45738</v>
      </c>
      <c r="B18" s="15" t="s">
        <v>2</v>
      </c>
      <c r="C18" s="19">
        <v>1</v>
      </c>
      <c r="D18" s="15">
        <v>3</v>
      </c>
      <c r="E18" s="15">
        <v>1</v>
      </c>
      <c r="F18" s="15" t="s">
        <v>33</v>
      </c>
      <c r="G18" s="20">
        <v>2</v>
      </c>
      <c r="H18" s="20">
        <v>7</v>
      </c>
      <c r="I18" s="38" t="s">
        <v>35</v>
      </c>
    </row>
    <row r="19" spans="1:11" ht="16.2" thickBot="1" x14ac:dyDescent="0.35">
      <c r="A19" s="16">
        <v>45744</v>
      </c>
      <c r="B19" s="17" t="s">
        <v>2</v>
      </c>
      <c r="C19" s="17">
        <v>1</v>
      </c>
      <c r="D19" s="17">
        <v>3</v>
      </c>
      <c r="E19" s="17">
        <v>1</v>
      </c>
      <c r="F19" s="15" t="s">
        <v>33</v>
      </c>
      <c r="G19" s="17">
        <v>35</v>
      </c>
      <c r="H19" s="17">
        <v>34</v>
      </c>
      <c r="I19" s="41" t="s">
        <v>36</v>
      </c>
    </row>
    <row r="22" spans="1:11" ht="15" thickBot="1" x14ac:dyDescent="0.35"/>
    <row r="23" spans="1:11" ht="15.6" x14ac:dyDescent="0.3">
      <c r="A23" s="44" t="s">
        <v>20</v>
      </c>
      <c r="B23" s="42"/>
      <c r="C23" s="42"/>
      <c r="D23" s="42"/>
      <c r="E23" s="42"/>
      <c r="F23" s="42"/>
      <c r="G23" s="42"/>
      <c r="H23" s="42"/>
      <c r="I23" s="43"/>
      <c r="K23" s="2"/>
    </row>
    <row r="24" spans="1:11" ht="30.6" x14ac:dyDescent="0.3">
      <c r="A24" s="14">
        <v>45738</v>
      </c>
      <c r="B24" s="15" t="s">
        <v>2</v>
      </c>
      <c r="C24" s="19">
        <v>1</v>
      </c>
      <c r="D24" s="15">
        <v>3</v>
      </c>
      <c r="E24" s="15">
        <v>3</v>
      </c>
      <c r="F24" s="20"/>
      <c r="G24" s="20"/>
      <c r="H24" s="20"/>
      <c r="I24" s="38" t="s">
        <v>12</v>
      </c>
      <c r="K24" s="2"/>
    </row>
    <row r="25" spans="1:11" ht="16.2" thickBot="1" x14ac:dyDescent="0.35">
      <c r="A25" s="16">
        <v>45738</v>
      </c>
      <c r="B25" s="17" t="s">
        <v>2</v>
      </c>
      <c r="C25" s="17">
        <v>1</v>
      </c>
      <c r="D25" s="17">
        <v>3</v>
      </c>
      <c r="E25" s="17">
        <v>4</v>
      </c>
      <c r="F25" s="40"/>
      <c r="G25" s="40"/>
      <c r="H25" s="40"/>
      <c r="I25" s="41" t="s">
        <v>11</v>
      </c>
      <c r="K25" s="2"/>
    </row>
    <row r="26" spans="1:11" ht="15.6" x14ac:dyDescent="0.3">
      <c r="K26" s="2"/>
    </row>
    <row r="27" spans="1:11" ht="15.6" x14ac:dyDescent="0.3">
      <c r="K27" s="2"/>
    </row>
    <row r="28" spans="1:11" ht="15.6" x14ac:dyDescent="0.3">
      <c r="K28" s="2"/>
    </row>
    <row r="29" spans="1:11" ht="16.2" thickBot="1" x14ac:dyDescent="0.35">
      <c r="A29" s="37" t="s">
        <v>28</v>
      </c>
      <c r="B29" s="37"/>
      <c r="C29" s="37"/>
      <c r="D29" s="37"/>
      <c r="E29" s="37"/>
      <c r="F29" s="37"/>
      <c r="G29" s="37"/>
      <c r="H29" s="37"/>
      <c r="K29" s="3"/>
    </row>
    <row r="30" spans="1:11" ht="16.2" thickBot="1" x14ac:dyDescent="0.35">
      <c r="A30" s="4" t="s">
        <v>0</v>
      </c>
      <c r="B30" s="5" t="s">
        <v>6</v>
      </c>
      <c r="C30" s="11" t="s">
        <v>5</v>
      </c>
      <c r="D30" s="5" t="s">
        <v>13</v>
      </c>
      <c r="E30" s="5" t="s">
        <v>1</v>
      </c>
      <c r="F30" s="12" t="s">
        <v>17</v>
      </c>
      <c r="G30" s="12" t="s">
        <v>18</v>
      </c>
      <c r="H30" s="13" t="s">
        <v>19</v>
      </c>
      <c r="K30" s="1"/>
    </row>
    <row r="31" spans="1:11" ht="15.6" x14ac:dyDescent="0.3">
      <c r="A31" s="14">
        <v>45738</v>
      </c>
      <c r="B31" s="15" t="s">
        <v>2</v>
      </c>
      <c r="C31" s="15">
        <v>1</v>
      </c>
      <c r="D31" s="15">
        <v>3</v>
      </c>
      <c r="E31" s="15">
        <v>2</v>
      </c>
      <c r="F31" s="7">
        <f t="shared" ref="F31:F37" si="0">F3-F3</f>
        <v>0</v>
      </c>
      <c r="G31" s="7">
        <f t="shared" ref="G31:H34" si="1">G3-$F3</f>
        <v>16</v>
      </c>
      <c r="H31" s="8">
        <f t="shared" si="1"/>
        <v>44</v>
      </c>
    </row>
    <row r="32" spans="1:11" ht="15.6" x14ac:dyDescent="0.3">
      <c r="A32" s="14">
        <v>45510</v>
      </c>
      <c r="B32" s="15" t="s">
        <v>2</v>
      </c>
      <c r="C32" s="15">
        <v>1</v>
      </c>
      <c r="D32" s="15">
        <v>2</v>
      </c>
      <c r="E32" s="15">
        <v>1</v>
      </c>
      <c r="F32" s="7">
        <f t="shared" si="0"/>
        <v>0</v>
      </c>
      <c r="G32" s="7">
        <f t="shared" si="1"/>
        <v>5</v>
      </c>
      <c r="H32" s="8">
        <f t="shared" si="1"/>
        <v>5</v>
      </c>
    </row>
    <row r="33" spans="1:9" ht="15.6" x14ac:dyDescent="0.3">
      <c r="A33" s="14">
        <v>45546</v>
      </c>
      <c r="B33" s="15" t="s">
        <v>2</v>
      </c>
      <c r="C33" s="15">
        <v>2</v>
      </c>
      <c r="D33" s="15">
        <v>1</v>
      </c>
      <c r="E33" s="15">
        <v>1</v>
      </c>
      <c r="F33" s="7">
        <f t="shared" si="0"/>
        <v>0</v>
      </c>
      <c r="G33" s="7">
        <f t="shared" si="1"/>
        <v>1</v>
      </c>
      <c r="H33" s="8">
        <f t="shared" si="1"/>
        <v>1</v>
      </c>
    </row>
    <row r="34" spans="1:9" ht="15.6" x14ac:dyDescent="0.3">
      <c r="A34" s="14">
        <v>45546</v>
      </c>
      <c r="B34" s="15" t="s">
        <v>2</v>
      </c>
      <c r="C34" s="15">
        <v>2</v>
      </c>
      <c r="D34" s="15">
        <v>1</v>
      </c>
      <c r="E34" s="15">
        <v>2</v>
      </c>
      <c r="F34" s="7">
        <f t="shared" si="0"/>
        <v>0</v>
      </c>
      <c r="G34" s="7">
        <f t="shared" si="1"/>
        <v>2</v>
      </c>
      <c r="H34" s="8">
        <f t="shared" si="1"/>
        <v>2</v>
      </c>
    </row>
    <row r="35" spans="1:9" ht="15.6" x14ac:dyDescent="0.3">
      <c r="A35" s="14">
        <v>45567</v>
      </c>
      <c r="B35" s="15" t="s">
        <v>3</v>
      </c>
      <c r="C35" s="15">
        <v>2</v>
      </c>
      <c r="D35" s="15">
        <v>1</v>
      </c>
      <c r="E35" s="15">
        <v>1</v>
      </c>
      <c r="F35" s="7">
        <f t="shared" si="0"/>
        <v>0</v>
      </c>
      <c r="G35" s="7">
        <f>G7-$F7</f>
        <v>9</v>
      </c>
      <c r="H35" s="8"/>
    </row>
    <row r="36" spans="1:9" ht="15.6" x14ac:dyDescent="0.3">
      <c r="A36" s="14">
        <v>45567</v>
      </c>
      <c r="B36" s="15" t="s">
        <v>3</v>
      </c>
      <c r="C36" s="15">
        <v>2</v>
      </c>
      <c r="D36" s="15">
        <v>3</v>
      </c>
      <c r="E36" s="15">
        <v>1</v>
      </c>
      <c r="F36" s="7">
        <f t="shared" si="0"/>
        <v>0</v>
      </c>
      <c r="G36" s="7">
        <f>G8-$F8</f>
        <v>3</v>
      </c>
      <c r="H36" s="8"/>
    </row>
    <row r="37" spans="1:9" ht="16.2" thickBot="1" x14ac:dyDescent="0.35">
      <c r="A37" s="16">
        <v>45738</v>
      </c>
      <c r="B37" s="17" t="s">
        <v>3</v>
      </c>
      <c r="C37" s="18">
        <v>1</v>
      </c>
      <c r="D37" s="17">
        <v>2</v>
      </c>
      <c r="E37" s="17">
        <v>1</v>
      </c>
      <c r="F37" s="9">
        <f t="shared" si="0"/>
        <v>0</v>
      </c>
      <c r="G37" s="9">
        <f>G9-$F9</f>
        <v>6</v>
      </c>
      <c r="H37" s="10"/>
    </row>
    <row r="38" spans="1:9" ht="29.4" thickBot="1" x14ac:dyDescent="0.35">
      <c r="E38" s="21" t="s">
        <v>31</v>
      </c>
      <c r="F38" s="22">
        <f>AVERAGE(F31:F37)</f>
        <v>0</v>
      </c>
      <c r="G38" s="23">
        <f>AVERAGE(G31:G37)</f>
        <v>6</v>
      </c>
    </row>
    <row r="40" spans="1:9" x14ac:dyDescent="0.3">
      <c r="I40" s="32"/>
    </row>
    <row r="41" spans="1:9" ht="15" thickBot="1" x14ac:dyDescent="0.35">
      <c r="A41" s="37" t="s">
        <v>29</v>
      </c>
      <c r="B41" s="37"/>
      <c r="C41" s="37"/>
      <c r="D41" s="37"/>
      <c r="E41" s="37"/>
      <c r="F41" s="37"/>
      <c r="G41" s="37"/>
      <c r="H41" s="37"/>
    </row>
    <row r="42" spans="1:9" ht="16.2" thickBot="1" x14ac:dyDescent="0.35">
      <c r="A42" s="4" t="s">
        <v>0</v>
      </c>
      <c r="B42" s="5" t="s">
        <v>6</v>
      </c>
      <c r="C42" s="11" t="s">
        <v>5</v>
      </c>
      <c r="D42" s="5" t="s">
        <v>13</v>
      </c>
      <c r="E42" s="5" t="s">
        <v>1</v>
      </c>
      <c r="F42" s="12"/>
      <c r="G42" s="12" t="s">
        <v>18</v>
      </c>
      <c r="H42" s="13" t="s">
        <v>19</v>
      </c>
    </row>
    <row r="43" spans="1:9" ht="15.6" x14ac:dyDescent="0.3">
      <c r="A43" s="14">
        <v>45738</v>
      </c>
      <c r="B43" s="15" t="s">
        <v>2</v>
      </c>
      <c r="C43" s="15">
        <v>1</v>
      </c>
      <c r="D43" s="15">
        <v>3</v>
      </c>
      <c r="E43" s="15">
        <v>2</v>
      </c>
      <c r="F43" s="7"/>
      <c r="G43" s="33">
        <f>G3-G3</f>
        <v>0</v>
      </c>
      <c r="H43" s="34">
        <f>H3-$G3</f>
        <v>28</v>
      </c>
    </row>
    <row r="44" spans="1:9" ht="15.6" x14ac:dyDescent="0.3">
      <c r="A44" s="14">
        <v>45510</v>
      </c>
      <c r="B44" s="15" t="s">
        <v>2</v>
      </c>
      <c r="C44" s="15">
        <v>1</v>
      </c>
      <c r="D44" s="15">
        <v>2</v>
      </c>
      <c r="E44" s="15">
        <v>1</v>
      </c>
      <c r="F44" s="7"/>
      <c r="G44" s="33">
        <f>G4-G4</f>
        <v>0</v>
      </c>
      <c r="H44" s="34">
        <f>H4-$G4</f>
        <v>0</v>
      </c>
    </row>
    <row r="45" spans="1:9" ht="15.6" x14ac:dyDescent="0.3">
      <c r="A45" s="14">
        <v>45546</v>
      </c>
      <c r="B45" s="15" t="s">
        <v>2</v>
      </c>
      <c r="C45" s="15">
        <v>2</v>
      </c>
      <c r="D45" s="15">
        <v>1</v>
      </c>
      <c r="E45" s="15">
        <v>1</v>
      </c>
      <c r="F45" s="7"/>
      <c r="G45" s="33">
        <f>G5-G5</f>
        <v>0</v>
      </c>
      <c r="H45" s="34">
        <f>H5-$G5</f>
        <v>0</v>
      </c>
    </row>
    <row r="46" spans="1:9" ht="15.6" x14ac:dyDescent="0.3">
      <c r="A46" s="14">
        <v>45546</v>
      </c>
      <c r="B46" s="15" t="s">
        <v>2</v>
      </c>
      <c r="C46" s="15">
        <v>2</v>
      </c>
      <c r="D46" s="15">
        <v>1</v>
      </c>
      <c r="E46" s="15">
        <v>2</v>
      </c>
      <c r="F46" s="7"/>
      <c r="G46" s="33">
        <f>G6-G6</f>
        <v>0</v>
      </c>
      <c r="H46" s="34">
        <f>H6-$G6</f>
        <v>0</v>
      </c>
    </row>
    <row r="47" spans="1:9" ht="15.6" x14ac:dyDescent="0.3">
      <c r="A47" s="14">
        <v>45526</v>
      </c>
      <c r="B47" s="19" t="s">
        <v>4</v>
      </c>
      <c r="C47" s="15">
        <v>2</v>
      </c>
      <c r="D47" s="15">
        <v>1</v>
      </c>
      <c r="E47" s="20">
        <v>1</v>
      </c>
      <c r="F47" s="7"/>
      <c r="G47" s="33">
        <f t="shared" ref="G47:G56" si="2">G10-G10</f>
        <v>0</v>
      </c>
      <c r="H47" s="34">
        <f t="shared" ref="H47:H56" si="3">H10-$G10</f>
        <v>-8</v>
      </c>
    </row>
    <row r="48" spans="1:9" ht="15.6" x14ac:dyDescent="0.3">
      <c r="A48" s="14">
        <v>45526</v>
      </c>
      <c r="B48" s="19" t="s">
        <v>4</v>
      </c>
      <c r="C48" s="15">
        <v>2</v>
      </c>
      <c r="D48" s="15">
        <v>3</v>
      </c>
      <c r="E48" s="15">
        <v>1</v>
      </c>
      <c r="F48" s="7"/>
      <c r="G48" s="33">
        <f t="shared" si="2"/>
        <v>0</v>
      </c>
      <c r="H48" s="34">
        <f t="shared" si="3"/>
        <v>1</v>
      </c>
    </row>
    <row r="49" spans="1:9" ht="15.6" x14ac:dyDescent="0.3">
      <c r="A49" s="14">
        <v>45526</v>
      </c>
      <c r="B49" s="19" t="s">
        <v>4</v>
      </c>
      <c r="C49" s="15">
        <v>2</v>
      </c>
      <c r="D49" s="15">
        <v>3</v>
      </c>
      <c r="E49" s="15">
        <v>2</v>
      </c>
      <c r="F49" s="7"/>
      <c r="G49" s="33">
        <f t="shared" si="2"/>
        <v>0</v>
      </c>
      <c r="H49" s="34">
        <f t="shared" si="3"/>
        <v>6</v>
      </c>
    </row>
    <row r="50" spans="1:9" ht="15.6" x14ac:dyDescent="0.3">
      <c r="A50" s="14">
        <v>45526</v>
      </c>
      <c r="B50" s="19" t="s">
        <v>4</v>
      </c>
      <c r="C50" s="15">
        <v>2</v>
      </c>
      <c r="D50" s="15">
        <v>3</v>
      </c>
      <c r="E50" s="15">
        <v>3</v>
      </c>
      <c r="F50" s="7"/>
      <c r="G50" s="33">
        <f t="shared" si="2"/>
        <v>0</v>
      </c>
      <c r="H50" s="34">
        <f t="shared" si="3"/>
        <v>2</v>
      </c>
    </row>
    <row r="51" spans="1:9" ht="15.6" x14ac:dyDescent="0.3">
      <c r="A51" s="14">
        <v>45526</v>
      </c>
      <c r="B51" s="19" t="s">
        <v>4</v>
      </c>
      <c r="C51" s="15">
        <v>2</v>
      </c>
      <c r="D51" s="15">
        <v>2</v>
      </c>
      <c r="E51" s="15">
        <v>1</v>
      </c>
      <c r="F51" s="7"/>
      <c r="G51" s="33" t="e">
        <f t="shared" si="2"/>
        <v>#VALUE!</v>
      </c>
      <c r="H51" s="34" t="e">
        <f t="shared" si="3"/>
        <v>#VALUE!</v>
      </c>
    </row>
    <row r="52" spans="1:9" ht="15.6" x14ac:dyDescent="0.3">
      <c r="A52" s="14">
        <v>45526</v>
      </c>
      <c r="B52" s="19" t="s">
        <v>4</v>
      </c>
      <c r="C52" s="15">
        <v>2</v>
      </c>
      <c r="D52" s="15">
        <v>2</v>
      </c>
      <c r="E52" s="15">
        <v>2</v>
      </c>
      <c r="F52" s="7"/>
      <c r="G52" s="33">
        <f t="shared" si="2"/>
        <v>0</v>
      </c>
      <c r="H52" s="34">
        <f t="shared" si="3"/>
        <v>5</v>
      </c>
      <c r="I52" s="32"/>
    </row>
    <row r="53" spans="1:9" ht="15.6" x14ac:dyDescent="0.3">
      <c r="A53" s="14">
        <v>45526</v>
      </c>
      <c r="B53" s="19" t="s">
        <v>4</v>
      </c>
      <c r="C53" s="15">
        <v>2</v>
      </c>
      <c r="D53" s="15">
        <v>2</v>
      </c>
      <c r="E53" s="15">
        <v>3</v>
      </c>
      <c r="F53" s="7"/>
      <c r="G53" s="33">
        <f t="shared" si="2"/>
        <v>0</v>
      </c>
      <c r="H53" s="34">
        <f t="shared" si="3"/>
        <v>4</v>
      </c>
    </row>
    <row r="54" spans="1:9" ht="15.6" x14ac:dyDescent="0.3">
      <c r="A54" s="14">
        <v>45738</v>
      </c>
      <c r="B54" s="15" t="s">
        <v>10</v>
      </c>
      <c r="C54" s="15">
        <v>1</v>
      </c>
      <c r="D54" s="15">
        <v>2</v>
      </c>
      <c r="E54" s="15">
        <v>1</v>
      </c>
      <c r="F54" s="7"/>
      <c r="G54" s="33">
        <f t="shared" si="2"/>
        <v>0</v>
      </c>
      <c r="H54" s="34">
        <f t="shared" si="3"/>
        <v>0</v>
      </c>
    </row>
    <row r="55" spans="1:9" ht="15.6" x14ac:dyDescent="0.3">
      <c r="A55" s="14">
        <v>45738</v>
      </c>
      <c r="B55" s="15" t="s">
        <v>2</v>
      </c>
      <c r="C55" s="19">
        <v>1</v>
      </c>
      <c r="D55" s="15">
        <v>3</v>
      </c>
      <c r="E55" s="15">
        <v>1</v>
      </c>
      <c r="F55" s="7"/>
      <c r="G55" s="33">
        <f t="shared" si="2"/>
        <v>0</v>
      </c>
      <c r="H55" s="34">
        <f t="shared" si="3"/>
        <v>5</v>
      </c>
    </row>
    <row r="56" spans="1:9" ht="16.2" thickBot="1" x14ac:dyDescent="0.35">
      <c r="A56" s="16">
        <v>45744</v>
      </c>
      <c r="B56" s="17" t="s">
        <v>2</v>
      </c>
      <c r="C56" s="17">
        <v>1</v>
      </c>
      <c r="D56" s="17">
        <v>3</v>
      </c>
      <c r="E56" s="17">
        <v>1</v>
      </c>
      <c r="F56" s="9"/>
      <c r="G56" s="35">
        <f t="shared" si="2"/>
        <v>0</v>
      </c>
      <c r="H56" s="36">
        <f t="shared" si="3"/>
        <v>-1</v>
      </c>
    </row>
    <row r="57" spans="1:9" ht="29.4" thickBot="1" x14ac:dyDescent="0.35">
      <c r="F57" s="21" t="s">
        <v>30</v>
      </c>
      <c r="G57" s="22" t="e">
        <f>AVERAGE(G43:G56)</f>
        <v>#VALUE!</v>
      </c>
      <c r="H57" s="23" t="e">
        <f>AVERAGE(H43:H56)</f>
        <v>#VALUE!</v>
      </c>
    </row>
    <row r="58" spans="1:9" ht="15" thickBot="1" x14ac:dyDescent="0.35">
      <c r="G58" s="6"/>
    </row>
    <row r="59" spans="1:9" ht="15" thickBot="1" x14ac:dyDescent="0.35">
      <c r="A59" s="31"/>
      <c r="B59" s="13" t="s">
        <v>24</v>
      </c>
    </row>
    <row r="60" spans="1:9" ht="28.2" x14ac:dyDescent="0.3">
      <c r="A60" s="27" t="s">
        <v>25</v>
      </c>
      <c r="B60" s="28">
        <f>6/14</f>
        <v>0.42857142857142855</v>
      </c>
    </row>
    <row r="61" spans="1:9" ht="55.8" x14ac:dyDescent="0.3">
      <c r="A61" s="27" t="s">
        <v>26</v>
      </c>
      <c r="B61" s="28">
        <f>6/14</f>
        <v>0.42857142857142855</v>
      </c>
    </row>
    <row r="62" spans="1:9" ht="28.8" thickBot="1" x14ac:dyDescent="0.35">
      <c r="A62" s="29" t="s">
        <v>27</v>
      </c>
      <c r="B62" s="30">
        <f>2/14</f>
        <v>0.14285714285714285</v>
      </c>
    </row>
    <row r="74" spans="7:9" x14ac:dyDescent="0.3">
      <c r="G74" s="6"/>
    </row>
    <row r="75" spans="7:9" x14ac:dyDescent="0.3">
      <c r="G75" s="6"/>
      <c r="H75" s="6"/>
      <c r="I75" s="6"/>
    </row>
    <row r="76" spans="7:9" x14ac:dyDescent="0.3">
      <c r="G76" s="6"/>
      <c r="H76" s="6"/>
      <c r="I76" s="6"/>
    </row>
    <row r="77" spans="7:9" x14ac:dyDescent="0.3">
      <c r="G77" s="6"/>
      <c r="H77" s="6"/>
      <c r="I77" s="6"/>
    </row>
    <row r="78" spans="7:9" x14ac:dyDescent="0.3">
      <c r="G78" s="6"/>
      <c r="H78" s="6"/>
      <c r="I78" s="6"/>
    </row>
    <row r="79" spans="7:9" x14ac:dyDescent="0.3">
      <c r="G79" s="6"/>
      <c r="H79" s="6"/>
      <c r="I79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State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2025-04-08T18:52:22Z</dcterms:created>
  <dcterms:modified xsi:type="dcterms:W3CDTF">2025-10-22T18:34:29Z</dcterms:modified>
</cp:coreProperties>
</file>