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\acat-VAPB-DP\N2V-Denoised\"/>
    </mc:Choice>
  </mc:AlternateContent>
  <xr:revisionPtr revIDLastSave="0" documentId="13_ncr:1_{CC9024D4-EE4C-49D6-8EB7-D8BA8A3AD0E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F39" i="1"/>
  <c r="H39" i="1"/>
  <c r="I39" i="1"/>
  <c r="F27" i="1" l="1"/>
  <c r="H33" i="1" l="1"/>
  <c r="H28" i="1"/>
  <c r="H29" i="1"/>
  <c r="H30" i="1"/>
  <c r="H31" i="1"/>
  <c r="H32" i="1"/>
  <c r="H34" i="1"/>
  <c r="H35" i="1"/>
  <c r="H36" i="1"/>
  <c r="H37" i="1"/>
  <c r="H27" i="1"/>
  <c r="I30" i="1"/>
  <c r="C22" i="1"/>
  <c r="C20" i="1"/>
  <c r="I37" i="1" l="1"/>
  <c r="I31" i="1"/>
  <c r="I32" i="1"/>
  <c r="I33" i="1"/>
  <c r="I34" i="1"/>
  <c r="I35" i="1"/>
  <c r="I36" i="1"/>
  <c r="F33" i="1"/>
  <c r="F32" i="1"/>
  <c r="F28" i="1"/>
  <c r="G28" i="1"/>
  <c r="F29" i="1"/>
  <c r="G29" i="1"/>
  <c r="F30" i="1"/>
  <c r="G30" i="1"/>
  <c r="F31" i="1"/>
  <c r="G31" i="1"/>
  <c r="G32" i="1"/>
  <c r="G33" i="1"/>
  <c r="F34" i="1"/>
  <c r="G34" i="1"/>
  <c r="F35" i="1"/>
  <c r="G35" i="1"/>
  <c r="F36" i="1"/>
  <c r="G36" i="1"/>
  <c r="F37" i="1"/>
  <c r="G37" i="1"/>
  <c r="G27" i="1"/>
  <c r="C21" i="1" l="1"/>
</calcChain>
</file>

<file path=xl/sharedStrings.xml><?xml version="1.0" encoding="utf-8"?>
<sst xmlns="http://schemas.openxmlformats.org/spreadsheetml/2006/main" count="80" uniqueCount="38">
  <si>
    <t>Folder date</t>
  </si>
  <si>
    <t xml:space="preserve">File </t>
  </si>
  <si>
    <t>Channels</t>
  </si>
  <si>
    <t>Multipoint</t>
  </si>
  <si>
    <t>ROI</t>
  </si>
  <si>
    <t>Time acat appears (min)</t>
  </si>
  <si>
    <t>Time DP appears (min)</t>
  </si>
  <si>
    <t>acat/VAPB</t>
  </si>
  <si>
    <t>N/A</t>
  </si>
  <si>
    <t>acat/VAPB/DP</t>
  </si>
  <si>
    <t xml:space="preserve">Re-analyzed timepoints </t>
  </si>
  <si>
    <t>VAPB mirror image</t>
  </si>
  <si>
    <t>One ER tubule from one cell appears at cell-cell contacts first, followed by acat. Later, more acat appear at sites where ER tubules from both cells form mirror image</t>
  </si>
  <si>
    <t xml:space="preserve">Used JF657 </t>
  </si>
  <si>
    <t>Used JFX650</t>
  </si>
  <si>
    <t>Used JF657</t>
  </si>
  <si>
    <t>Used JFX650 and JF757 images together to denoise VAPB channel</t>
  </si>
  <si>
    <t>Confirmed with Nav</t>
  </si>
  <si>
    <t>HaloTag7 ligand</t>
  </si>
  <si>
    <t xml:space="preserve">ER labeling looks more discontinuous and blobby initially </t>
  </si>
  <si>
    <t xml:space="preserve">Don't use the data as ER labeling looks terrible. 1st Ajs break later. </t>
  </si>
  <si>
    <t>ER is close to leading edge in one cell but retracted from leading edge in the other</t>
  </si>
  <si>
    <t>Cells make contact at T=36. ER tubule and acat puncta appear at same time as well. Identifying VAPB mirror image would not be accurate since ER tubule labeling appears fragmented/discontinuous</t>
  </si>
  <si>
    <t>Time VAPB appears (min)</t>
  </si>
  <si>
    <t>Yellow</t>
  </si>
  <si>
    <t>ER appears before acat</t>
  </si>
  <si>
    <t>Green</t>
  </si>
  <si>
    <t>ER appears after acat</t>
  </si>
  <si>
    <t>Orange</t>
  </si>
  <si>
    <t>ER and acat appear together or within 1 minute of each other</t>
  </si>
  <si>
    <t>Highlights</t>
  </si>
  <si>
    <t>% occurrence (n=11)</t>
  </si>
  <si>
    <t>Timepoint normalized to VAPB appearance</t>
  </si>
  <si>
    <t>VAPB in both cells</t>
  </si>
  <si>
    <t>Focused on ER tubules at the first acat puncta (not on acat puncta that appears right after the first one in another region)</t>
  </si>
  <si>
    <t>Time both VAPB appears (min)</t>
  </si>
  <si>
    <t>Notes</t>
  </si>
  <si>
    <t>Mean 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</si>
</sst>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HELVETICA"/>
    </font>
    <font>
      <b/>
      <sz val="12"/>
      <color theme="1"/>
      <name val="HELVETICA"/>
    </font>
    <font>
      <sz val="11"/>
      <color theme="1"/>
      <name val="HELVETICA"/>
    </font>
    <font>
      <sz val="11"/>
      <color rgb="FFFF0000"/>
      <name val="Calibri"/>
      <family val="2"/>
      <scheme val="minor"/>
    </font>
    <font>
      <sz val="12"/>
      <color rgb="FFFF0000"/>
      <name val="HELVETICA"/>
    </font>
    <font>
      <sz val="11"/>
      <color rgb="FFFF0000"/>
      <name val="HELVETICA"/>
    </font>
    <font>
      <b/>
      <sz val="11"/>
      <color theme="1"/>
      <name val="HELVETICA"/>
    </font>
    <font>
      <b/>
      <sz val="11"/>
      <color theme="1"/>
      <name val="Calibri"/>
      <family val="2"/>
      <scheme val="minor"/>
    </font>
    <font>
      <b/>
      <sz val="10"/>
      <color theme="1"/>
      <name val="HELVETIC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Border="1"/>
    <xf numFmtId="14" fontId="3" fillId="0" borderId="0" xfId="0" applyNumberFormat="1" applyFont="1" applyBorder="1"/>
    <xf numFmtId="0" fontId="4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14" fontId="2" fillId="0" borderId="3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3" borderId="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wrapText="1"/>
    </xf>
    <xf numFmtId="0" fontId="2" fillId="4" borderId="0" xfId="0" applyFont="1" applyFill="1" applyBorder="1" applyAlignment="1">
      <alignment horizontal="left"/>
    </xf>
    <xf numFmtId="164" fontId="0" fillId="0" borderId="0" xfId="0" applyNumberFormat="1"/>
    <xf numFmtId="0" fontId="8" fillId="0" borderId="7" xfId="0" applyFont="1" applyFill="1" applyBorder="1" applyAlignment="1">
      <alignment horizontal="left"/>
    </xf>
    <xf numFmtId="0" fontId="0" fillId="0" borderId="8" xfId="0" applyBorder="1"/>
    <xf numFmtId="0" fontId="9" fillId="0" borderId="9" xfId="0" applyFont="1" applyBorder="1"/>
    <xf numFmtId="0" fontId="4" fillId="0" borderId="3" xfId="0" applyFont="1" applyFill="1" applyBorder="1" applyAlignment="1">
      <alignment horizontal="left"/>
    </xf>
    <xf numFmtId="0" fontId="0" fillId="0" borderId="0" xfId="0" applyBorder="1"/>
    <xf numFmtId="164" fontId="0" fillId="0" borderId="10" xfId="0" applyNumberFormat="1" applyBorder="1"/>
    <xf numFmtId="0" fontId="0" fillId="0" borderId="0" xfId="0" applyBorder="1" applyAlignment="1">
      <alignment wrapText="1"/>
    </xf>
    <xf numFmtId="0" fontId="4" fillId="0" borderId="4" xfId="0" applyFont="1" applyFill="1" applyBorder="1" applyAlignment="1">
      <alignment horizontal="left"/>
    </xf>
    <xf numFmtId="0" fontId="0" fillId="0" borderId="5" xfId="0" applyBorder="1"/>
    <xf numFmtId="164" fontId="0" fillId="0" borderId="11" xfId="0" applyNumberFormat="1" applyBorder="1"/>
    <xf numFmtId="0" fontId="2" fillId="0" borderId="4" xfId="0" applyFont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10" fillId="0" borderId="1" xfId="0" applyFont="1" applyBorder="1"/>
    <xf numFmtId="0" fontId="10" fillId="0" borderId="2" xfId="0" applyFont="1" applyFill="1" applyBorder="1"/>
    <xf numFmtId="0" fontId="10" fillId="0" borderId="2" xfId="0" applyFont="1" applyBorder="1"/>
    <xf numFmtId="0" fontId="10" fillId="0" borderId="2" xfId="0" applyFont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10" fillId="0" borderId="6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0" borderId="2" xfId="0" applyFont="1" applyBorder="1"/>
    <xf numFmtId="14" fontId="2" fillId="0" borderId="7" xfId="0" applyNumberFormat="1" applyFont="1" applyBorder="1" applyAlignment="1">
      <alignment horizontal="left"/>
    </xf>
    <xf numFmtId="0" fontId="2" fillId="0" borderId="8" xfId="0" applyFont="1" applyFill="1" applyBorder="1" applyAlignment="1">
      <alignment horizontal="left" vertical="center" readingOrder="1"/>
    </xf>
    <xf numFmtId="0" fontId="4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0" fillId="0" borderId="8" xfId="0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9" fillId="0" borderId="0" xfId="0" applyFont="1" applyBorder="1" applyAlignment="1"/>
    <xf numFmtId="0" fontId="9" fillId="0" borderId="12" xfId="0" applyFont="1" applyBorder="1" applyAlignment="1"/>
    <xf numFmtId="0" fontId="1" fillId="0" borderId="0" xfId="0" applyFo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0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11" xfId="0" applyFont="1" applyFill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wrapText="1"/>
    </xf>
    <xf numFmtId="0" fontId="1" fillId="5" borderId="12" xfId="0" applyFont="1" applyFill="1" applyBorder="1" applyAlignment="1">
      <alignment wrapText="1"/>
    </xf>
    <xf numFmtId="0" fontId="13" fillId="0" borderId="1" xfId="0" applyFont="1" applyBorder="1"/>
    <xf numFmtId="0" fontId="13" fillId="0" borderId="2" xfId="0" applyFont="1" applyFill="1" applyBorder="1"/>
    <xf numFmtId="0" fontId="13" fillId="0" borderId="2" xfId="0" applyFont="1" applyBorder="1"/>
    <xf numFmtId="0" fontId="13" fillId="0" borderId="2" xfId="0" applyFont="1" applyBorder="1" applyAlignment="1">
      <alignment wrapText="1"/>
    </xf>
    <xf numFmtId="0" fontId="13" fillId="0" borderId="2" xfId="0" applyFont="1" applyFill="1" applyBorder="1" applyAlignment="1">
      <alignment wrapText="1"/>
    </xf>
    <xf numFmtId="0" fontId="13" fillId="0" borderId="6" xfId="0" applyFont="1" applyFill="1" applyBorder="1" applyAlignment="1">
      <alignment wrapText="1"/>
    </xf>
    <xf numFmtId="14" fontId="1" fillId="0" borderId="7" xfId="0" applyNumberFormat="1" applyFont="1" applyBorder="1" applyAlignment="1">
      <alignment horizontal="left"/>
    </xf>
    <xf numFmtId="0" fontId="1" fillId="0" borderId="8" xfId="0" applyFont="1" applyFill="1" applyBorder="1" applyAlignment="1">
      <alignment horizontal="left" vertical="center" readingOrder="1"/>
    </xf>
    <xf numFmtId="0" fontId="1" fillId="0" borderId="8" xfId="0" applyFont="1" applyFill="1" applyBorder="1" applyAlignment="1">
      <alignment horizontal="left" wrapText="1"/>
    </xf>
    <xf numFmtId="0" fontId="1" fillId="0" borderId="9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wrapText="1"/>
    </xf>
    <xf numFmtId="0" fontId="0" fillId="0" borderId="0" xfId="0" applyFont="1"/>
    <xf numFmtId="0" fontId="1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9"/>
  <sheetViews>
    <sheetView tabSelected="1" topLeftCell="A25" zoomScale="115" zoomScaleNormal="115" workbookViewId="0">
      <selection activeCell="E39" sqref="E39:I39"/>
    </sheetView>
  </sheetViews>
  <sheetFormatPr defaultRowHeight="14.4" x14ac:dyDescent="0.3"/>
  <cols>
    <col min="1" max="1" width="18" customWidth="1"/>
    <col min="2" max="2" width="9.88671875" customWidth="1"/>
    <col min="3" max="3" width="19.109375" customWidth="1"/>
    <col min="4" max="4" width="11.6640625" bestFit="1" customWidth="1"/>
    <col min="5" max="5" width="11" customWidth="1"/>
    <col min="6" max="7" width="9.88671875" customWidth="1"/>
    <col min="8" max="8" width="13.109375" customWidth="1"/>
    <col min="9" max="9" width="12.6640625" customWidth="1"/>
    <col min="10" max="10" width="15.44140625" customWidth="1"/>
    <col min="11" max="11" width="17.44140625" customWidth="1"/>
    <col min="12" max="12" width="55.5546875" customWidth="1"/>
  </cols>
  <sheetData>
    <row r="2" spans="1:17" ht="16.2" thickBot="1" x14ac:dyDescent="0.35">
      <c r="A2" s="1"/>
      <c r="B2" s="2"/>
      <c r="C2" s="3"/>
      <c r="D2" s="1"/>
      <c r="E2" s="4" t="s">
        <v>10</v>
      </c>
      <c r="F2" s="5"/>
      <c r="G2" s="6"/>
      <c r="H2" s="6"/>
    </row>
    <row r="3" spans="1:17" ht="54" thickBot="1" x14ac:dyDescent="0.35">
      <c r="A3" s="47" t="s">
        <v>0</v>
      </c>
      <c r="B3" s="48" t="s">
        <v>1</v>
      </c>
      <c r="C3" s="49" t="s">
        <v>2</v>
      </c>
      <c r="D3" s="49" t="s">
        <v>3</v>
      </c>
      <c r="E3" s="49" t="s">
        <v>4</v>
      </c>
      <c r="F3" s="50" t="s">
        <v>5</v>
      </c>
      <c r="G3" s="51" t="s">
        <v>23</v>
      </c>
      <c r="H3" s="53" t="s">
        <v>11</v>
      </c>
      <c r="I3" s="54" t="s">
        <v>33</v>
      </c>
      <c r="J3" s="52" t="s">
        <v>6</v>
      </c>
      <c r="K3" s="51" t="s">
        <v>18</v>
      </c>
      <c r="L3" s="64" t="s">
        <v>36</v>
      </c>
      <c r="M3" s="63"/>
      <c r="N3" s="63"/>
      <c r="O3" s="63"/>
      <c r="P3" s="63"/>
      <c r="Q3" s="63"/>
    </row>
    <row r="4" spans="1:17" ht="15.6" x14ac:dyDescent="0.3">
      <c r="A4" s="55">
        <v>45832</v>
      </c>
      <c r="B4" s="56">
        <v>1</v>
      </c>
      <c r="C4" s="57" t="s">
        <v>7</v>
      </c>
      <c r="D4" s="58">
        <v>1</v>
      </c>
      <c r="E4" s="58">
        <v>1</v>
      </c>
      <c r="F4" s="59">
        <v>9</v>
      </c>
      <c r="G4" s="60">
        <v>6</v>
      </c>
      <c r="H4" s="61">
        <v>11</v>
      </c>
      <c r="I4" s="61">
        <v>9</v>
      </c>
      <c r="J4" s="62" t="s">
        <v>8</v>
      </c>
      <c r="K4" s="61" t="s">
        <v>14</v>
      </c>
      <c r="L4" s="30" t="s">
        <v>16</v>
      </c>
      <c r="M4" s="33"/>
      <c r="N4" s="33"/>
      <c r="O4" s="33"/>
      <c r="P4" s="33"/>
      <c r="Q4" s="33"/>
    </row>
    <row r="5" spans="1:17" ht="15.6" x14ac:dyDescent="0.3">
      <c r="A5" s="10"/>
      <c r="B5" s="11">
        <v>1</v>
      </c>
      <c r="C5" s="16" t="s">
        <v>7</v>
      </c>
      <c r="D5" s="8">
        <v>2</v>
      </c>
      <c r="E5" s="8">
        <v>1</v>
      </c>
      <c r="F5" s="23">
        <v>2</v>
      </c>
      <c r="G5" s="24">
        <v>6</v>
      </c>
      <c r="H5" s="42">
        <v>10</v>
      </c>
      <c r="I5" s="42">
        <v>10</v>
      </c>
      <c r="J5" s="9" t="s">
        <v>8</v>
      </c>
      <c r="K5" s="42" t="s">
        <v>14</v>
      </c>
      <c r="L5" s="33"/>
      <c r="M5" s="33"/>
      <c r="N5" s="33"/>
      <c r="O5" s="33"/>
      <c r="P5" s="33"/>
      <c r="Q5" s="33"/>
    </row>
    <row r="6" spans="1:17" ht="15.6" x14ac:dyDescent="0.3">
      <c r="A6" s="10"/>
      <c r="B6" s="11">
        <v>1</v>
      </c>
      <c r="C6" s="16" t="s">
        <v>7</v>
      </c>
      <c r="D6" s="8">
        <v>3</v>
      </c>
      <c r="E6" s="8">
        <v>1</v>
      </c>
      <c r="F6" s="13">
        <v>15</v>
      </c>
      <c r="G6" s="14">
        <v>7</v>
      </c>
      <c r="H6" s="42">
        <v>17</v>
      </c>
      <c r="I6" s="42">
        <v>15</v>
      </c>
      <c r="J6" s="9" t="s">
        <v>8</v>
      </c>
      <c r="K6" s="42" t="s">
        <v>14</v>
      </c>
      <c r="L6" s="33" t="s">
        <v>12</v>
      </c>
      <c r="M6" s="33"/>
      <c r="N6" s="33"/>
      <c r="O6" s="33"/>
      <c r="P6" s="33"/>
      <c r="Q6" s="33"/>
    </row>
    <row r="7" spans="1:17" ht="15.6" x14ac:dyDescent="0.3">
      <c r="A7" s="7">
        <v>45468</v>
      </c>
      <c r="B7" s="11">
        <v>1</v>
      </c>
      <c r="C7" s="16" t="s">
        <v>9</v>
      </c>
      <c r="D7" s="8">
        <v>2</v>
      </c>
      <c r="E7" s="8">
        <v>1</v>
      </c>
      <c r="F7" s="25">
        <v>2</v>
      </c>
      <c r="G7" s="26">
        <v>2</v>
      </c>
      <c r="H7" s="42">
        <v>2</v>
      </c>
      <c r="I7" s="42">
        <v>2</v>
      </c>
      <c r="J7" s="9">
        <v>11</v>
      </c>
      <c r="K7" s="42" t="s">
        <v>14</v>
      </c>
      <c r="L7" s="33" t="s">
        <v>17</v>
      </c>
      <c r="M7" s="33"/>
      <c r="N7" s="33"/>
      <c r="O7" s="33"/>
      <c r="P7" s="33"/>
      <c r="Q7" s="33"/>
    </row>
    <row r="8" spans="1:17" ht="15.6" x14ac:dyDescent="0.3">
      <c r="A8" s="10"/>
      <c r="B8" s="11">
        <v>1</v>
      </c>
      <c r="C8" s="16" t="s">
        <v>9</v>
      </c>
      <c r="D8" s="8">
        <v>2</v>
      </c>
      <c r="E8" s="8">
        <v>2</v>
      </c>
      <c r="F8" s="25">
        <v>7</v>
      </c>
      <c r="G8" s="26">
        <v>7</v>
      </c>
      <c r="H8" s="42">
        <v>9</v>
      </c>
      <c r="I8" s="42">
        <v>9</v>
      </c>
      <c r="J8" s="9">
        <v>10</v>
      </c>
      <c r="K8" s="42" t="s">
        <v>14</v>
      </c>
      <c r="L8" s="33" t="s">
        <v>17</v>
      </c>
      <c r="M8" s="33"/>
      <c r="N8" s="33"/>
      <c r="O8" s="33"/>
      <c r="P8" s="33"/>
      <c r="Q8" s="33"/>
    </row>
    <row r="9" spans="1:17" ht="15.6" x14ac:dyDescent="0.3">
      <c r="A9" s="10"/>
      <c r="B9" s="11">
        <v>1</v>
      </c>
      <c r="C9" s="16" t="s">
        <v>9</v>
      </c>
      <c r="D9" s="8">
        <v>2</v>
      </c>
      <c r="E9" s="8">
        <v>3</v>
      </c>
      <c r="F9" s="23">
        <v>20</v>
      </c>
      <c r="G9" s="24">
        <v>26</v>
      </c>
      <c r="H9" s="42">
        <v>27</v>
      </c>
      <c r="I9" s="42">
        <v>27</v>
      </c>
      <c r="J9" s="9">
        <v>28</v>
      </c>
      <c r="K9" s="42" t="s">
        <v>14</v>
      </c>
      <c r="L9" s="33" t="s">
        <v>17</v>
      </c>
      <c r="M9" s="33"/>
      <c r="N9" s="33"/>
      <c r="O9" s="33"/>
      <c r="P9" s="33"/>
      <c r="Q9" s="33"/>
    </row>
    <row r="10" spans="1:17" ht="15.6" x14ac:dyDescent="0.3">
      <c r="A10" s="7">
        <v>45496</v>
      </c>
      <c r="B10" s="11">
        <v>2</v>
      </c>
      <c r="C10" s="16" t="s">
        <v>9</v>
      </c>
      <c r="D10" s="11">
        <v>1</v>
      </c>
      <c r="E10" s="8">
        <v>1</v>
      </c>
      <c r="F10" s="15">
        <v>45</v>
      </c>
      <c r="G10" s="15">
        <v>42</v>
      </c>
      <c r="H10" s="11">
        <v>42</v>
      </c>
      <c r="I10" s="42">
        <v>42</v>
      </c>
      <c r="J10" s="11">
        <v>49</v>
      </c>
      <c r="K10" s="42" t="s">
        <v>13</v>
      </c>
      <c r="L10" s="33" t="s">
        <v>19</v>
      </c>
      <c r="M10" s="33"/>
      <c r="N10" s="33"/>
      <c r="O10" s="33"/>
      <c r="P10" s="33"/>
      <c r="Q10" s="33"/>
    </row>
    <row r="11" spans="1:17" ht="15.6" x14ac:dyDescent="0.3">
      <c r="A11" s="10"/>
      <c r="B11" s="11">
        <v>2</v>
      </c>
      <c r="C11" s="16" t="s">
        <v>9</v>
      </c>
      <c r="D11" s="11">
        <v>1</v>
      </c>
      <c r="E11" s="8">
        <v>2</v>
      </c>
      <c r="F11" s="27">
        <v>11</v>
      </c>
      <c r="G11" s="27">
        <v>10</v>
      </c>
      <c r="H11" s="11">
        <v>14</v>
      </c>
      <c r="I11" s="42">
        <v>11</v>
      </c>
      <c r="J11" s="11">
        <v>17</v>
      </c>
      <c r="K11" s="42" t="s">
        <v>13</v>
      </c>
      <c r="L11" s="33"/>
      <c r="M11" s="33"/>
      <c r="N11" s="33"/>
      <c r="O11" s="33"/>
      <c r="P11" s="33"/>
      <c r="Q11" s="33"/>
    </row>
    <row r="12" spans="1:17" ht="15.6" x14ac:dyDescent="0.3">
      <c r="A12" s="10"/>
      <c r="B12" s="11">
        <v>2</v>
      </c>
      <c r="C12" s="16" t="s">
        <v>9</v>
      </c>
      <c r="D12" s="11">
        <v>2</v>
      </c>
      <c r="E12" s="8">
        <v>1</v>
      </c>
      <c r="F12" s="27">
        <v>36</v>
      </c>
      <c r="G12" s="27">
        <v>36</v>
      </c>
      <c r="H12" s="42"/>
      <c r="I12" s="42">
        <v>38</v>
      </c>
      <c r="J12" s="11">
        <v>42</v>
      </c>
      <c r="K12" s="42" t="s">
        <v>15</v>
      </c>
      <c r="L12" s="33" t="s">
        <v>22</v>
      </c>
      <c r="M12" s="33"/>
      <c r="N12" s="33"/>
      <c r="O12" s="33"/>
      <c r="P12" s="33"/>
      <c r="Q12" s="33"/>
    </row>
    <row r="13" spans="1:17" ht="15.6" x14ac:dyDescent="0.3">
      <c r="A13" s="10"/>
      <c r="B13" s="12">
        <v>2</v>
      </c>
      <c r="C13" s="16" t="s">
        <v>9</v>
      </c>
      <c r="D13" s="11">
        <v>2</v>
      </c>
      <c r="E13" s="8">
        <v>2</v>
      </c>
      <c r="F13" s="27">
        <v>27</v>
      </c>
      <c r="G13" s="27">
        <v>27</v>
      </c>
      <c r="H13" s="42"/>
      <c r="I13" s="42">
        <v>33</v>
      </c>
      <c r="J13" s="11">
        <v>35</v>
      </c>
      <c r="K13" s="42" t="s">
        <v>15</v>
      </c>
      <c r="L13" s="33" t="s">
        <v>21</v>
      </c>
      <c r="M13" s="33"/>
      <c r="N13" s="33"/>
      <c r="O13" s="33"/>
      <c r="P13" s="33"/>
      <c r="Q13" s="33"/>
    </row>
    <row r="14" spans="1:17" ht="16.2" thickBot="1" x14ac:dyDescent="0.35">
      <c r="A14" s="39"/>
      <c r="B14" s="40">
        <v>2</v>
      </c>
      <c r="C14" s="18" t="s">
        <v>9</v>
      </c>
      <c r="D14" s="40">
        <v>2</v>
      </c>
      <c r="E14" s="41">
        <v>3</v>
      </c>
      <c r="F14" s="43">
        <v>23</v>
      </c>
      <c r="G14" s="44">
        <v>23</v>
      </c>
      <c r="H14" s="45"/>
      <c r="I14" s="45">
        <v>27</v>
      </c>
      <c r="J14" s="40">
        <v>37</v>
      </c>
      <c r="K14" s="45" t="s">
        <v>15</v>
      </c>
      <c r="L14" s="37" t="s">
        <v>34</v>
      </c>
      <c r="M14" s="37"/>
      <c r="N14" s="33"/>
      <c r="O14" s="33"/>
      <c r="P14" s="33"/>
      <c r="Q14" s="33"/>
    </row>
    <row r="15" spans="1:17" ht="15.6" x14ac:dyDescent="0.3">
      <c r="A15" s="10"/>
      <c r="B15" s="19">
        <v>2</v>
      </c>
      <c r="C15" s="20" t="s">
        <v>9</v>
      </c>
      <c r="D15" s="19">
        <v>1</v>
      </c>
      <c r="E15" s="21">
        <v>4</v>
      </c>
      <c r="F15" s="19">
        <v>32</v>
      </c>
      <c r="G15" s="19">
        <v>31</v>
      </c>
      <c r="H15" s="22"/>
      <c r="J15" s="19">
        <v>38</v>
      </c>
      <c r="K15" s="17" t="s">
        <v>15</v>
      </c>
      <c r="L15" t="s">
        <v>20</v>
      </c>
    </row>
    <row r="16" spans="1:17" ht="15.6" x14ac:dyDescent="0.3">
      <c r="A16" s="46"/>
    </row>
    <row r="18" spans="1:9" ht="15" thickBot="1" x14ac:dyDescent="0.35"/>
    <row r="19" spans="1:9" x14ac:dyDescent="0.3">
      <c r="A19" s="29" t="s">
        <v>30</v>
      </c>
      <c r="B19" s="30"/>
      <c r="C19" s="31" t="s">
        <v>31</v>
      </c>
    </row>
    <row r="20" spans="1:9" x14ac:dyDescent="0.3">
      <c r="A20" s="32" t="s">
        <v>24</v>
      </c>
      <c r="B20" s="33" t="s">
        <v>25</v>
      </c>
      <c r="C20" s="34">
        <f>3/11*100</f>
        <v>27.27272727272727</v>
      </c>
    </row>
    <row r="21" spans="1:9" ht="100.8" x14ac:dyDescent="0.3">
      <c r="A21" s="32" t="s">
        <v>26</v>
      </c>
      <c r="B21" s="35" t="s">
        <v>29</v>
      </c>
      <c r="C21" s="34">
        <f>6/11*100</f>
        <v>54.54545454545454</v>
      </c>
    </row>
    <row r="22" spans="1:9" ht="15" thickBot="1" x14ac:dyDescent="0.35">
      <c r="A22" s="36" t="s">
        <v>28</v>
      </c>
      <c r="B22" s="37" t="s">
        <v>27</v>
      </c>
      <c r="C22" s="38">
        <f>2/11*100</f>
        <v>18.181818181818183</v>
      </c>
    </row>
    <row r="23" spans="1:9" x14ac:dyDescent="0.3">
      <c r="C23" s="28"/>
    </row>
    <row r="24" spans="1:9" x14ac:dyDescent="0.3">
      <c r="C24" s="28"/>
    </row>
    <row r="25" spans="1:9" ht="15" thickBot="1" x14ac:dyDescent="0.35">
      <c r="A25" s="68" t="s">
        <v>32</v>
      </c>
      <c r="B25" s="68"/>
      <c r="C25" s="68"/>
      <c r="D25" s="68"/>
      <c r="E25" s="68"/>
      <c r="F25" s="68"/>
      <c r="G25" s="68"/>
      <c r="H25" s="68"/>
      <c r="I25" s="65"/>
    </row>
    <row r="26" spans="1:9" ht="56.4" thickBot="1" x14ac:dyDescent="0.35">
      <c r="A26" s="78" t="s">
        <v>0</v>
      </c>
      <c r="B26" s="79" t="s">
        <v>1</v>
      </c>
      <c r="C26" s="80" t="s">
        <v>2</v>
      </c>
      <c r="D26" s="80" t="s">
        <v>3</v>
      </c>
      <c r="E26" s="80" t="s">
        <v>4</v>
      </c>
      <c r="F26" s="81" t="s">
        <v>5</v>
      </c>
      <c r="G26" s="82" t="s">
        <v>23</v>
      </c>
      <c r="H26" s="82" t="s">
        <v>35</v>
      </c>
      <c r="I26" s="83" t="s">
        <v>6</v>
      </c>
    </row>
    <row r="27" spans="1:9" x14ac:dyDescent="0.3">
      <c r="A27" s="84">
        <v>45832</v>
      </c>
      <c r="B27" s="85">
        <v>1</v>
      </c>
      <c r="C27" s="69" t="s">
        <v>7</v>
      </c>
      <c r="D27" s="69">
        <v>1</v>
      </c>
      <c r="E27" s="69">
        <v>1</v>
      </c>
      <c r="F27" s="86">
        <f>F4-$G4</f>
        <v>3</v>
      </c>
      <c r="G27" s="86">
        <f t="shared" ref="G27" si="0">G4-$G4</f>
        <v>0</v>
      </c>
      <c r="H27" s="69">
        <f>I4-$G4</f>
        <v>3</v>
      </c>
      <c r="I27" s="87"/>
    </row>
    <row r="28" spans="1:9" x14ac:dyDescent="0.3">
      <c r="A28" s="88"/>
      <c r="B28" s="66">
        <v>1</v>
      </c>
      <c r="C28" s="70" t="s">
        <v>7</v>
      </c>
      <c r="D28" s="70">
        <v>2</v>
      </c>
      <c r="E28" s="70">
        <v>1</v>
      </c>
      <c r="F28" s="67">
        <f>F5-$G5</f>
        <v>-4</v>
      </c>
      <c r="G28" s="67">
        <f t="shared" ref="G28" si="1">G5-$G5</f>
        <v>0</v>
      </c>
      <c r="H28" s="70">
        <f t="shared" ref="H28:H37" si="2">I5-$G5</f>
        <v>4</v>
      </c>
      <c r="I28" s="71"/>
    </row>
    <row r="29" spans="1:9" x14ac:dyDescent="0.3">
      <c r="A29" s="88"/>
      <c r="B29" s="66">
        <v>1</v>
      </c>
      <c r="C29" s="70" t="s">
        <v>7</v>
      </c>
      <c r="D29" s="70">
        <v>3</v>
      </c>
      <c r="E29" s="70">
        <v>1</v>
      </c>
      <c r="F29" s="67">
        <f t="shared" ref="F29:G29" si="3">F6-$G6</f>
        <v>8</v>
      </c>
      <c r="G29" s="67">
        <f t="shared" si="3"/>
        <v>0</v>
      </c>
      <c r="H29" s="70">
        <f t="shared" si="2"/>
        <v>8</v>
      </c>
      <c r="I29" s="71"/>
    </row>
    <row r="30" spans="1:9" x14ac:dyDescent="0.3">
      <c r="A30" s="89">
        <v>45468</v>
      </c>
      <c r="B30" s="66">
        <v>1</v>
      </c>
      <c r="C30" s="70" t="s">
        <v>9</v>
      </c>
      <c r="D30" s="70">
        <v>2</v>
      </c>
      <c r="E30" s="70">
        <v>1</v>
      </c>
      <c r="F30" s="67">
        <f t="shared" ref="F30:G30" si="4">F7-$G7</f>
        <v>0</v>
      </c>
      <c r="G30" s="67">
        <f t="shared" si="4"/>
        <v>0</v>
      </c>
      <c r="H30" s="70">
        <f t="shared" si="2"/>
        <v>0</v>
      </c>
      <c r="I30" s="71">
        <f t="shared" ref="I30:I37" si="5">J7-$G7</f>
        <v>9</v>
      </c>
    </row>
    <row r="31" spans="1:9" x14ac:dyDescent="0.3">
      <c r="A31" s="88"/>
      <c r="B31" s="66">
        <v>1</v>
      </c>
      <c r="C31" s="70" t="s">
        <v>9</v>
      </c>
      <c r="D31" s="70">
        <v>2</v>
      </c>
      <c r="E31" s="70">
        <v>2</v>
      </c>
      <c r="F31" s="67">
        <f t="shared" ref="F31:G31" si="6">F8-$G8</f>
        <v>0</v>
      </c>
      <c r="G31" s="67">
        <f t="shared" si="6"/>
        <v>0</v>
      </c>
      <c r="H31" s="70">
        <f t="shared" si="2"/>
        <v>2</v>
      </c>
      <c r="I31" s="71">
        <f t="shared" si="5"/>
        <v>3</v>
      </c>
    </row>
    <row r="32" spans="1:9" x14ac:dyDescent="0.3">
      <c r="A32" s="88"/>
      <c r="B32" s="66">
        <v>1</v>
      </c>
      <c r="C32" s="70" t="s">
        <v>9</v>
      </c>
      <c r="D32" s="70">
        <v>2</v>
      </c>
      <c r="E32" s="70">
        <v>3</v>
      </c>
      <c r="F32" s="67">
        <f>F9-$G9</f>
        <v>-6</v>
      </c>
      <c r="G32" s="67">
        <f t="shared" ref="G32" si="7">G9-$G9</f>
        <v>0</v>
      </c>
      <c r="H32" s="70">
        <f t="shared" si="2"/>
        <v>1</v>
      </c>
      <c r="I32" s="71">
        <f t="shared" si="5"/>
        <v>2</v>
      </c>
    </row>
    <row r="33" spans="1:9" x14ac:dyDescent="0.3">
      <c r="A33" s="89">
        <v>45496</v>
      </c>
      <c r="B33" s="66">
        <v>2</v>
      </c>
      <c r="C33" s="70" t="s">
        <v>9</v>
      </c>
      <c r="D33" s="66">
        <v>1</v>
      </c>
      <c r="E33" s="70">
        <v>1</v>
      </c>
      <c r="F33" s="67">
        <f>F10-$G10</f>
        <v>3</v>
      </c>
      <c r="G33" s="67">
        <f t="shared" ref="G33" si="8">G10-$G10</f>
        <v>0</v>
      </c>
      <c r="H33" s="70">
        <f>I10-$G10</f>
        <v>0</v>
      </c>
      <c r="I33" s="71">
        <f t="shared" si="5"/>
        <v>7</v>
      </c>
    </row>
    <row r="34" spans="1:9" x14ac:dyDescent="0.3">
      <c r="A34" s="88"/>
      <c r="B34" s="66">
        <v>2</v>
      </c>
      <c r="C34" s="70" t="s">
        <v>9</v>
      </c>
      <c r="D34" s="66">
        <v>1</v>
      </c>
      <c r="E34" s="70">
        <v>2</v>
      </c>
      <c r="F34" s="67">
        <f t="shared" ref="F34:G34" si="9">F11-$G11</f>
        <v>1</v>
      </c>
      <c r="G34" s="67">
        <f t="shared" si="9"/>
        <v>0</v>
      </c>
      <c r="H34" s="70">
        <f t="shared" si="2"/>
        <v>1</v>
      </c>
      <c r="I34" s="71">
        <f t="shared" si="5"/>
        <v>7</v>
      </c>
    </row>
    <row r="35" spans="1:9" x14ac:dyDescent="0.3">
      <c r="A35" s="88"/>
      <c r="B35" s="66">
        <v>2</v>
      </c>
      <c r="C35" s="70" t="s">
        <v>9</v>
      </c>
      <c r="D35" s="66">
        <v>2</v>
      </c>
      <c r="E35" s="70">
        <v>1</v>
      </c>
      <c r="F35" s="67">
        <f t="shared" ref="F35:G35" si="10">F12-$G12</f>
        <v>0</v>
      </c>
      <c r="G35" s="67">
        <f t="shared" si="10"/>
        <v>0</v>
      </c>
      <c r="H35" s="70">
        <f t="shared" si="2"/>
        <v>2</v>
      </c>
      <c r="I35" s="71">
        <f t="shared" si="5"/>
        <v>6</v>
      </c>
    </row>
    <row r="36" spans="1:9" x14ac:dyDescent="0.3">
      <c r="A36" s="88"/>
      <c r="B36" s="66">
        <v>2</v>
      </c>
      <c r="C36" s="70" t="s">
        <v>9</v>
      </c>
      <c r="D36" s="66">
        <v>2</v>
      </c>
      <c r="E36" s="70">
        <v>2</v>
      </c>
      <c r="F36" s="67">
        <f t="shared" ref="F36:G36" si="11">F13-$G13</f>
        <v>0</v>
      </c>
      <c r="G36" s="67">
        <f t="shared" si="11"/>
        <v>0</v>
      </c>
      <c r="H36" s="70">
        <f t="shared" si="2"/>
        <v>6</v>
      </c>
      <c r="I36" s="71">
        <f t="shared" si="5"/>
        <v>8</v>
      </c>
    </row>
    <row r="37" spans="1:9" ht="15" thickBot="1" x14ac:dyDescent="0.35">
      <c r="A37" s="90"/>
      <c r="B37" s="91">
        <v>2</v>
      </c>
      <c r="C37" s="72" t="s">
        <v>9</v>
      </c>
      <c r="D37" s="91">
        <v>2</v>
      </c>
      <c r="E37" s="72">
        <v>3</v>
      </c>
      <c r="F37" s="92">
        <f t="shared" ref="F37:G37" si="12">F14-$G14</f>
        <v>0</v>
      </c>
      <c r="G37" s="92">
        <f t="shared" si="12"/>
        <v>0</v>
      </c>
      <c r="H37" s="72">
        <f t="shared" si="2"/>
        <v>4</v>
      </c>
      <c r="I37" s="73">
        <f t="shared" si="5"/>
        <v>14</v>
      </c>
    </row>
    <row r="38" spans="1:9" ht="15" thickBot="1" x14ac:dyDescent="0.35">
      <c r="A38" s="93"/>
      <c r="B38" s="93"/>
      <c r="C38" s="93"/>
      <c r="D38" s="93"/>
      <c r="E38" s="93"/>
      <c r="F38" s="93"/>
      <c r="G38" s="93"/>
      <c r="H38" s="93"/>
      <c r="I38" s="93"/>
    </row>
    <row r="39" spans="1:9" ht="28.8" thickBot="1" x14ac:dyDescent="0.35">
      <c r="A39" s="93"/>
      <c r="B39" s="93"/>
      <c r="C39" s="93"/>
      <c r="D39" s="93"/>
      <c r="E39" s="77" t="s">
        <v>37</v>
      </c>
      <c r="F39" s="94">
        <f>AVERAGE(F27:F37)</f>
        <v>0.45454545454545453</v>
      </c>
      <c r="G39" s="74">
        <f>AVERAGE(G27:G37)</f>
        <v>0</v>
      </c>
      <c r="H39" s="75">
        <f>AVERAGE(H27:H37)</f>
        <v>2.8181818181818183</v>
      </c>
      <c r="I39" s="76">
        <f>AVERAGE(I30:I37)</f>
        <v>7</v>
      </c>
    </row>
  </sheetData>
  <mergeCells count="1">
    <mergeCell ref="A25:H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2015-06-05T18:17:20Z</dcterms:created>
  <dcterms:modified xsi:type="dcterms:W3CDTF">2025-10-17T19:26:58Z</dcterms:modified>
</cp:coreProperties>
</file>